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573800562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6720c1d70bd4060"/>
    <x:sheet xmlns:r="http://schemas.openxmlformats.org/officeDocument/2006/relationships" name="places" sheetId="2" r:id="Racb7d2334c5a4c27"/>
    <x:sheet xmlns:r="http://schemas.openxmlformats.org/officeDocument/2006/relationships" name="observations" sheetId="3" r:id="R6d825f7ed447444a"/>
    <x:sheet xmlns:r="http://schemas.openxmlformats.org/officeDocument/2006/relationships" name="notes" sheetId="4" r:id="R6d6ee935676742a3"/>
    <x:sheet xmlns:r="http://schemas.openxmlformats.org/officeDocument/2006/relationships" name="landscape_legend" sheetId="5" r:id="Re328dbb86a5143cc"/>
    <x:sheet xmlns:r="http://schemas.openxmlformats.org/officeDocument/2006/relationships" name="summary" sheetId="6" r:id="R216a6e5265d043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yyyy-mm-dd"/>
  </x:numFmts>
  <x:fonts count="7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1"/>
      <x:color rgb="FFFFFF"/>
      <x:name val="Times New Roman"/>
    </x:font>
    <x:font>
      <x:sz val="11"/>
      <x:name val="Times New Roman"/>
    </x:font>
    <x:font>
      <x:b/>
      <x:sz val="11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3" fillId="2" borderId="0" xfId="0" applyNumberFormat="1" applyFont="1" applyFill="1" applyBorder="1" applyAlignment="1">
      <x:alignment horizontal="center" vertical="center"/>
    </x:xf>
    <x:xf numFmtId="200" fontId="3" fillId="2" borderId="1" xfId="0" applyNumberFormat="1" applyFont="1" applyFill="1" applyBorder="1" applyAlignment="1">
      <x:alignment horizontal="center" vertical="center"/>
    </x:xf>
    <x:xf numFmtId="201" fontId="3" fillId="2" borderId="0" xfId="0" applyNumberFormat="1" applyFont="1" applyFill="1" applyBorder="1" applyAlignment="1">
      <x:alignment horizontal="center" vertical="center"/>
    </x:xf>
    <x:xf numFmtId="201" fontId="3" fillId="2" borderId="1" xfId="0" applyNumberFormat="1" applyFont="1" applyFill="1" applyBorder="1" applyAlignment="1">
      <x:alignment horizontal="center" vertical="center"/>
    </x:xf>
    <x:xf numFmtId="202" fontId="3" fillId="2" borderId="0" xfId="0" applyNumberFormat="1" applyFont="1" applyFill="1" applyBorder="1" applyAlignment="1">
      <x:alignment horizontal="center" vertical="center"/>
    </x:xf>
    <x:xf numFmtId="202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200" fontId="4" fillId="2" borderId="0" xfId="0" applyNumberFormat="1" applyFont="1" applyFill="1" applyBorder="1" applyAlignment="1">
      <x:alignment horizontal="center" vertical="center"/>
    </x:xf>
    <x:xf numFmtId="201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/>
    </x:xf>
    <x:xf numFmtId="200" fontId="4" fillId="2" borderId="1" xfId="0" applyNumberFormat="1" applyFont="1" applyFill="1" applyBorder="1" applyAlignment="1">
      <x:alignment horizontal="center" vertical="center"/>
    </x:xf>
    <x:xf numFmtId="201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top"/>
    </x:xf>
    <x:xf numFmtId="200" fontId="4" fillId="2" borderId="0" xfId="0" applyNumberFormat="1" applyFont="1" applyFill="1" applyBorder="1" applyAlignment="1">
      <x:alignment horizontal="center" vertical="top"/>
    </x:xf>
    <x:xf numFmtId="201" fontId="4" fillId="2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horizontal="center" vertical="top"/>
    </x:xf>
    <x:xf numFmtId="200" fontId="4" fillId="2" borderId="1" xfId="0" applyNumberFormat="1" applyFont="1" applyFill="1" applyBorder="1" applyAlignment="1">
      <x:alignment horizontal="center" vertical="top"/>
    </x:xf>
    <x:xf numFmtId="201" fontId="4" fillId="2" borderId="1" xfId="0" applyNumberFormat="1" applyFont="1" applyFill="1" applyBorder="1" applyAlignment="1">
      <x:alignment horizontal="center" vertical="top"/>
    </x:xf>
    <x:xf numFmtId="0" fontId="5" fillId="0" borderId="1" xfId="0" applyNumberFormat="1" applyFont="1" applyFill="1" applyBorder="1" applyAlignment="1">
      <x:alignment vertical="top"/>
    </x:xf>
    <x:xf numFmtId="202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202" fontId="4" fillId="2" borderId="1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202" fontId="4" fillId="2" borderId="0" xfId="0" applyNumberFormat="1" applyFont="1" applyFill="1" applyBorder="1" applyAlignment="1">
      <x:alignment horizontal="center" vertical="top"/>
    </x:xf>
    <x:xf numFmtId="0" fontId="4" fillId="2" borderId="0" xfId="0" applyNumberFormat="1" applyFont="1" applyFill="1" applyBorder="1" applyAlignment="1">
      <x:alignment horizontal="center" vertical="top" wrapText="1"/>
    </x:xf>
    <x:xf numFmtId="202" fontId="4" fillId="2" borderId="1" xfId="0" applyNumberFormat="1" applyFont="1" applyFill="1" applyBorder="1" applyAlignment="1">
      <x:alignment horizontal="center" vertical="top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vertical="top"/>
    </x:xf>
    <x:xf numFmtId="0" fontId="6" fillId="3" borderId="1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horizontal="center" vertical="top" wrapText="1"/>
    </x:xf>
    <x:xf numFmtId="201" fontId="4" fillId="2" borderId="0" xfId="0" applyNumberFormat="1" applyFont="1" applyFill="1" applyBorder="1" applyAlignment="1">
      <x:alignment horizontal="center" vertical="top" wrapText="1"/>
    </x:xf>
    <x:xf numFmtId="200" fontId="4" fillId="2" borderId="0" xfId="0" applyNumberFormat="1" applyFont="1" applyFill="1" applyBorder="1" applyAlignment="1">
      <x:alignment horizontal="center" vertical="center" wrapText="1"/>
    </x:xf>
    <x:xf numFmtId="201" fontId="4" fillId="2" borderId="0" xfId="0" applyNumberFormat="1" applyFont="1" applyFill="1" applyBorder="1" applyAlignment="1">
      <x:alignment horizontal="center" vertical="center" wrapText="1"/>
    </x:xf>
    <x:xf numFmtId="200" fontId="4" fillId="2" borderId="1" xfId="0" applyNumberFormat="1" applyFont="1" applyFill="1" applyBorder="1" applyAlignment="1">
      <x:alignment horizontal="center" vertical="top" wrapText="1"/>
    </x:xf>
    <x:xf numFmtId="201" fontId="4" fillId="2" borderId="1" xfId="0" applyNumberFormat="1" applyFont="1" applyFill="1" applyBorder="1" applyAlignment="1">
      <x:alignment horizontal="center" vertical="top" wrapText="1"/>
    </x:xf>
    <x:xf numFmtId="200" fontId="4" fillId="2" borderId="1" xfId="0" applyNumberFormat="1" applyFont="1" applyFill="1" applyBorder="1" applyAlignment="1">
      <x:alignment horizontal="center" vertical="center" wrapText="1"/>
    </x:xf>
    <x:xf numFmtId="201" fontId="4" fillId="2" borderId="1" xfId="0" applyNumberFormat="1" applyFont="1" applyFill="1" applyBorder="1" applyAlignment="1">
      <x:alignment horizontal="center" vertical="center" wrapText="1"/>
    </x:xf>
    <x:xf numFmtId="202" fontId="4" fillId="2" borderId="0" xfId="0" applyNumberFormat="1" applyFont="1" applyFill="1" applyBorder="1" applyAlignment="1">
      <x:alignment horizontal="center" vertical="top" wrapText="1"/>
    </x:xf>
    <x:xf numFmtId="202" fontId="4" fillId="2" borderId="0" xfId="0" applyNumberFormat="1" applyFont="1" applyFill="1" applyBorder="1" applyAlignment="1">
      <x:alignment horizontal="center" vertical="center" wrapText="1"/>
    </x:xf>
    <x:xf numFmtId="202" fontId="4" fillId="2" borderId="1" xfId="0" applyNumberFormat="1" applyFont="1" applyFill="1" applyBorder="1" applyAlignment="1">
      <x:alignment horizontal="center" vertical="top" wrapText="1"/>
    </x:xf>
    <x:xf numFmtId="202" fontId="4" fillId="2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c815640114486" /><Relationship Type="http://schemas.openxmlformats.org/officeDocument/2006/relationships/theme" Target="/xl/theme/theme1.xml" Id="Rf4d31d525a454d45" /><Relationship Type="http://schemas.openxmlformats.org/officeDocument/2006/relationships/sharedStrings" Target="/xl/sharedStrings.xml" Id="R089ac88199424e61" /><Relationship Type="http://schemas.openxmlformats.org/officeDocument/2006/relationships/worksheet" Target="/xl/worksheets/sheet1.xml" Id="Rf6720c1d70bd4060" /><Relationship Type="http://schemas.openxmlformats.org/officeDocument/2006/relationships/worksheet" Target="/xl/worksheets/sheet2.xml" Id="Racb7d2334c5a4c27" /><Relationship Type="http://schemas.openxmlformats.org/officeDocument/2006/relationships/worksheet" Target="/xl/worksheets/sheet3.xml" Id="R6d825f7ed447444a" /><Relationship Type="http://schemas.openxmlformats.org/officeDocument/2006/relationships/worksheet" Target="/xl/worksheets/sheet4.xml" Id="R6d6ee935676742a3" /><Relationship Type="http://schemas.openxmlformats.org/officeDocument/2006/relationships/worksheet" Target="/xl/worksheets/sheet5.xml" Id="Re328dbb86a5143cc" /><Relationship Type="http://schemas.openxmlformats.org/officeDocument/2006/relationships/worksheet" Target="/xl/worksheets/sheet6.xml" Id="R216a6e5265d043c2" /></Relationships>
</file>

<file path=xl/tables/table1.xml><?xml version="1.0" encoding="utf-8"?>
<x:table xmlns:x="http://schemas.openxmlformats.org/spreadsheetml/2006/main" id="1" name="PlacesTable" displayName="PlacesTable" ref="A1:F21" headerRowCount="1">
  <x:tableColumns count="6">
    <x:tableColumn id="1" name="individual_id"/>
    <x:tableColumn id="2" name="x_m"/>
    <x:tableColumn id="3" name="y_m"/>
    <x:tableColumn id="4" name="accuracy_m"/>
    <x:tableColumn id="5" name="landscape_code"/>
    <x:tableColumn id="6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ObservationsTable" displayName="ObservationsTable" ref="A1:G21" headerRowCount="1">
  <x:tableColumns count="7">
    <x:tableColumn id="1" name="observation_id"/>
    <x:tableColumn id="2" name="individual_id"/>
    <x:tableColumn id="3" name="obs_date"/>
    <x:tableColumn id="4" name="count_seen"/>
    <x:tableColumn id="5" name="place_description"/>
    <x:tableColumn id="6" name="condition"/>
    <x:tableColumn id="7" name="threat_factor"/>
  </x:tableColumns>
  <x:tableStyleInfo name="TableStyleMedium2" showRowStripes="1"/>
</x:table>
</file>

<file path=xl/tables/table3.xml><?xml version="1.0" encoding="utf-8"?>
<x:table xmlns:x="http://schemas.openxmlformats.org/spreadsheetml/2006/main" id="3" name="NotesTable" displayName="NotesTable" ref="A1:F21" headerRowCount="1">
  <x:tableColumns count="6">
    <x:tableColumn id="1" name="individual_id"/>
    <x:tableColumn id="2" name="species_name"/>
    <x:tableColumn id="3" name="protection_status"/>
    <x:tableColumn id="4" name="age_stage"/>
    <x:tableColumn id="5" name="vitality"/>
    <x:tableColumn id="6" name="additional_note"/>
  </x:tableColumns>
  <x:tableStyleInfo name="TableStyleMedium2" showRowStripes="1"/>
</x:table>
</file>

<file path=xl/tables/table4.xml><?xml version="1.0" encoding="utf-8"?>
<x:table xmlns:x="http://schemas.openxmlformats.org/spreadsheetml/2006/main" id="4" name="LandscapeLegendTable" displayName="LandscapeLegendTable" ref="A1:D7" headerRowCount="1">
  <x:tableColumns count="4">
    <x:tableColumn id="1" name="landscape_code"/>
    <x:tableColumn id="2" name="landscape_type"/>
    <x:tableColumn id="3" name="map_style_hint"/>
    <x:tableColumn id="4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1acd913d1745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5f577fea3e40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ae81ea10704e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89afb964324e69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4" hidden="0" customWidth="1"/>
  </x:cols>
  <x:sheetData>
    <x:row r="1" ht="28" customHeight="1">
      <x:c r="A1" s="53" t="str">
        <x:v>Исходные данные для практической работы №8</x:v>
      </x:c>
      <x:c r="B1" s="62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43" t="str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>
      <x:c r="A3" s="58" t="str">
        <x:v>Назначение файла</x:v>
      </x:c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>
      <x:c r="A4" s="43" t="str">
        <x:v>Файл содержит учебные исходные таблицы для создания карты встречаемости особей редкого вида в ГИС «Аксиома».</x:v>
      </x:c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>
      <x:c r="A5" s="43" t="str">
        <x:v>Данные условные, подготовлены для выполнения практической работы и оформления отчета.</x:v>
      </x:c>
      <x:c r="B5" s="43"/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>
      <x:c r="A6" s="43" t="str"/>
      <x:c r="B6" s="43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>
      <x:c r="A7" s="58" t="str">
        <x:v>Как использовать в ГИС «Аксиома»</x:v>
      </x:c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>
      <x:c r="A8" s="43" t="str">
        <x:v>1. Откройте лист places как таблицу Excel.</x:v>
      </x:c>
      <x:c r="B8" s="43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>
      <x:c r="A9" s="43" t="str">
        <x:v>2. Через инструмент «Создать точки» используйте поле x_m как координату X, поле y_m как координату Y.</x:v>
      </x:c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>
      <x:c r="A10" s="43" t="str">
        <x:v>3. Укажите проекцию слоя, совпадающую с проектом/растром. Для учебного варианта можно использовать Пулково 1942 / Гаусса-Крюгера, зона 6.</x:v>
      </x:c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>
      <x:c r="A11" s="43" t="str">
        <x:v>4. После создания точечного слоя присоедините к нему сведения с листов observations и notes по полю individual_id.</x:v>
      </x:c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>
      <x:c r="A12" s="43" t="str">
        <x:v>5. Лист landscape_legend можно использовать как справочник для оформления тематической карты ландшафтов.</x:v>
      </x:c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>
      <x:c r="A13" s="43" t="str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>
      <x:c r="A14" s="58" t="str">
        <x:v>Состав листов</x:v>
      </x:c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>
      <x:c r="A15" s="43" t="str">
        <x:v>places</x:v>
      </x:c>
      <x:c r="B15" s="43" t="str">
        <x:v>места встречаемости: номер особи и координаты</x:v>
      </x:c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>
      <x:c r="A16" s="43" t="str">
        <x:v>observations</x:v>
      </x:c>
      <x:c r="B16" s="43" t="str">
        <x:v>даты встреч и описание места</x:v>
      </x:c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>
      <x:c r="A17" s="43" t="str">
        <x:v>notes</x:v>
      </x:c>
      <x:c r="B17" s="43" t="str">
        <x:v>дополнительные сведения об особях</x:v>
      </x:c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>
      <x:c r="A18" s="43" t="str">
        <x:v>landscape_legend</x:v>
      </x:c>
      <x:c r="B18" s="43" t="str">
        <x:v>справочник типов ландшафтов</x:v>
      </x:c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>
      <x:c r="A19" s="43" t="str">
        <x:v>summary</x:v>
      </x:c>
      <x:c r="B19" s="43" t="str">
        <x:v>краткая сводка для проверки данных</x:v>
      </x:c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>
      <x:c r="A20" s="43" t="str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>
      <x:c r="A21" s="43" t="str">
        <x:v>Важно</x:v>
      </x:c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58" t="str">
        <x:v>В строке заголовков нет пробелов и знаков препинания, чтобы таблицы было проще импортировать в ГИС.</x:v>
      </x:c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2" hidden="0" customWidth="1"/>
    <x:col min="5" max="5" width="16" hidden="0" customWidth="1"/>
    <x:col min="6" max="6" width="16" hidden="0" customWidth="1"/>
  </x:cols>
  <x:sheetData>
    <x:row r="1" ht="24" customHeight="1">
      <x:c r="A1" s="49" t="str">
        <x:v>individual_id</x:v>
      </x:c>
      <x:c r="B1" s="66" t="str">
        <x:v>x_m</x:v>
      </x:c>
      <x:c r="C1" s="66" t="str">
        <x:v>y_m</x:v>
      </x:c>
      <x:c r="D1" s="67" t="str">
        <x:v>accuracy_m</x:v>
      </x:c>
      <x:c r="E1" s="49" t="str">
        <x:v>landscape_code</x:v>
      </x:c>
      <x:c r="F1" s="49" t="str">
        <x:v>source</x:v>
      </x:c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43" t="str">
        <x:v>OS_001</x:v>
      </x:c>
      <x:c r="B2" s="43" t="n">
        <x:v>5718425.3</x:v>
      </x:c>
      <x:c r="C2" s="43" t="n">
        <x:v>7184068.2</x:v>
      </x:c>
      <x:c r="D2" s="43" t="n">
        <x:v>5</x:v>
      </x:c>
      <x:c r="E2" s="43" t="str">
        <x:v>L01</x:v>
      </x:c>
      <x:c r="F2" s="43" t="str">
        <x:v>field_survey</x:v>
      </x:c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>
      <x:c r="A3" s="43" t="str">
        <x:v>OS_002</x:v>
      </x:c>
      <x:c r="B3" s="43" t="n">
        <x:v>5718588.6</x:v>
      </x:c>
      <x:c r="C3" s="43" t="n">
        <x:v>7184214.7</x:v>
      </x:c>
      <x:c r="D3" s="43" t="n">
        <x:v>5</x:v>
      </x:c>
      <x:c r="E3" s="43" t="str">
        <x:v>L01</x:v>
      </x:c>
      <x:c r="F3" s="43" t="str">
        <x:v>field_survey</x:v>
      </x:c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>
      <x:c r="A4" s="43" t="str">
        <x:v>OS_003</x:v>
      </x:c>
      <x:c r="B4" s="43" t="n">
        <x:v>5718762.1</x:v>
      </x:c>
      <x:c r="C4" s="43" t="n">
        <x:v>7183978.4</x:v>
      </x:c>
      <x:c r="D4" s="43" t="n">
        <x:v>7</x:v>
      </x:c>
      <x:c r="E4" s="43" t="str">
        <x:v>L02</x:v>
      </x:c>
      <x:c r="F4" s="43" t="str">
        <x:v>field_survey</x:v>
      </x:c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>
      <x:c r="A5" s="43" t="str">
        <x:v>OS_004</x:v>
      </x:c>
      <x:c r="B5" s="43" t="n">
        <x:v>5718910.4</x:v>
      </x:c>
      <x:c r="C5" s="43" t="n">
        <x:v>7184352.8</x:v>
      </x:c>
      <x:c r="D5" s="43" t="n">
        <x:v>5</x:v>
      </x:c>
      <x:c r="E5" s="43" t="str">
        <x:v>L02</x:v>
      </x:c>
      <x:c r="F5" s="43" t="str">
        <x:v>field_survey</x:v>
      </x:c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>
      <x:c r="A6" s="43" t="str">
        <x:v>OS_005</x:v>
      </x:c>
      <x:c r="B6" s="43" t="n">
        <x:v>5719142.7</x:v>
      </x:c>
      <x:c r="C6" s="43" t="n">
        <x:v>7184086.5</x:v>
      </x:c>
      <x:c r="D6" s="43" t="n">
        <x:v>8</x:v>
      </x:c>
      <x:c r="E6" s="43" t="str">
        <x:v>L03</x:v>
      </x:c>
      <x:c r="F6" s="43" t="str">
        <x:v>field_survey</x:v>
      </x:c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>
      <x:c r="A7" s="43" t="str">
        <x:v>OS_006</x:v>
      </x:c>
      <x:c r="B7" s="43" t="n">
        <x:v>5719355.9</x:v>
      </x:c>
      <x:c r="C7" s="43" t="n">
        <x:v>7183872</x:v>
      </x:c>
      <x:c r="D7" s="43" t="n">
        <x:v>6</x:v>
      </x:c>
      <x:c r="E7" s="43" t="str">
        <x:v>L03</x:v>
      </x:c>
      <x:c r="F7" s="43" t="str">
        <x:v>field_survey</x:v>
      </x:c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>
      <x:c r="A8" s="43" t="str">
        <x:v>OS_007</x:v>
      </x:c>
      <x:c r="B8" s="43" t="n">
        <x:v>5719581.2</x:v>
      </x:c>
      <x:c r="C8" s="43" t="n">
        <x:v>7184301.9</x:v>
      </x:c>
      <x:c r="D8" s="43" t="n">
        <x:v>5</x:v>
      </x:c>
      <x:c r="E8" s="43" t="str">
        <x:v>L04</x:v>
      </x:c>
      <x:c r="F8" s="43" t="str">
        <x:v>field_survey</x:v>
      </x:c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>
      <x:c r="A9" s="43" t="str">
        <x:v>OS_008</x:v>
      </x:c>
      <x:c r="B9" s="43" t="n">
        <x:v>5719714.5</x:v>
      </x:c>
      <x:c r="C9" s="43" t="n">
        <x:v>7184027.4</x:v>
      </x:c>
      <x:c r="D9" s="43" t="n">
        <x:v>10</x:v>
      </x:c>
      <x:c r="E9" s="43" t="str">
        <x:v>L04</x:v>
      </x:c>
      <x:c r="F9" s="43" t="str">
        <x:v>field_survey</x:v>
      </x:c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>
      <x:c r="A10" s="43" t="str">
        <x:v>OS_009</x:v>
      </x:c>
      <x:c r="B10" s="43" t="n">
        <x:v>5719940.8</x:v>
      </x:c>
      <x:c r="C10" s="43" t="n">
        <x:v>7183776.2</x:v>
      </x:c>
      <x:c r="D10" s="43" t="n">
        <x:v>8</x:v>
      </x:c>
      <x:c r="E10" s="43" t="str">
        <x:v>L05</x:v>
      </x:c>
      <x:c r="F10" s="43" t="str">
        <x:v>field_survey</x:v>
      </x:c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>
      <x:c r="A11" s="43" t="str">
        <x:v>OS_010</x:v>
      </x:c>
      <x:c r="B11" s="43" t="n">
        <x:v>5720125.4</x:v>
      </x:c>
      <x:c r="C11" s="43" t="n">
        <x:v>7184195.6</x:v>
      </x:c>
      <x:c r="D11" s="43" t="n">
        <x:v>5</x:v>
      </x:c>
      <x:c r="E11" s="43" t="str">
        <x:v>L02</x:v>
      </x:c>
      <x:c r="F11" s="43" t="str">
        <x:v>field_survey</x:v>
      </x:c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>
      <x:c r="A12" s="43" t="str">
        <x:v>OS_011</x:v>
      </x:c>
      <x:c r="B12" s="43" t="n">
        <x:v>5720340.7</x:v>
      </x:c>
      <x:c r="C12" s="43" t="n">
        <x:v>7183910.3</x:v>
      </x:c>
      <x:c r="D12" s="43" t="n">
        <x:v>6</x:v>
      </x:c>
      <x:c r="E12" s="43" t="str">
        <x:v>L05</x:v>
      </x:c>
      <x:c r="F12" s="43" t="str">
        <x:v>field_survey</x:v>
      </x:c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>
      <x:c r="A13" s="43" t="str">
        <x:v>OS_012</x:v>
      </x:c>
      <x:c r="B13" s="43" t="n">
        <x:v>5720528.1</x:v>
      </x:c>
      <x:c r="C13" s="43" t="n">
        <x:v>7184436.9</x:v>
      </x:c>
      <x:c r="D13" s="43" t="n">
        <x:v>5</x:v>
      </x:c>
      <x:c r="E13" s="43" t="str">
        <x:v>L01</x:v>
      </x:c>
      <x:c r="F13" s="43" t="str">
        <x:v>field_survey</x:v>
      </x:c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>
      <x:c r="A14" s="43" t="str">
        <x:v>OS_013</x:v>
      </x:c>
      <x:c r="B14" s="43" t="n">
        <x:v>5720756.6</x:v>
      </x:c>
      <x:c r="C14" s="43" t="n">
        <x:v>7184172.5</x:v>
      </x:c>
      <x:c r="D14" s="43" t="n">
        <x:v>7</x:v>
      </x:c>
      <x:c r="E14" s="43" t="str">
        <x:v>L03</x:v>
      </x:c>
      <x:c r="F14" s="43" t="str">
        <x:v>field_survey</x:v>
      </x:c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>
      <x:c r="A15" s="43" t="str">
        <x:v>OS_014</x:v>
      </x:c>
      <x:c r="B15" s="43" t="n">
        <x:v>5720968</x:v>
      </x:c>
      <x:c r="C15" s="43" t="n">
        <x:v>7183848.1</x:v>
      </x:c>
      <x:c r="D15" s="43" t="n">
        <x:v>8</x:v>
      </x:c>
      <x:c r="E15" s="43" t="str">
        <x:v>L06</x:v>
      </x:c>
      <x:c r="F15" s="43" t="str">
        <x:v>field_survey</x:v>
      </x:c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>
      <x:c r="A16" s="43" t="str">
        <x:v>OS_015</x:v>
      </x:c>
      <x:c r="B16" s="43" t="n">
        <x:v>5721186.3</x:v>
      </x:c>
      <x:c r="C16" s="43" t="n">
        <x:v>7184268.8</x:v>
      </x:c>
      <x:c r="D16" s="43" t="n">
        <x:v>5</x:v>
      </x:c>
      <x:c r="E16" s="43" t="str">
        <x:v>L06</x:v>
      </x:c>
      <x:c r="F16" s="43" t="str">
        <x:v>field_survey</x:v>
      </x:c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>
      <x:c r="A17" s="43" t="str">
        <x:v>OS_016</x:v>
      </x:c>
      <x:c r="B17" s="43" t="n">
        <x:v>5721375.9</x:v>
      </x:c>
      <x:c r="C17" s="43" t="n">
        <x:v>7183996.4</x:v>
      </x:c>
      <x:c r="D17" s="43" t="n">
        <x:v>6</x:v>
      </x:c>
      <x:c r="E17" s="43" t="str">
        <x:v>L04</x:v>
      </x:c>
      <x:c r="F17" s="43" t="str">
        <x:v>field_survey</x:v>
      </x:c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>
      <x:c r="A18" s="43" t="str">
        <x:v>OS_017</x:v>
      </x:c>
      <x:c r="B18" s="43" t="n">
        <x:v>5721558.5</x:v>
      </x:c>
      <x:c r="C18" s="43" t="n">
        <x:v>7183685.7</x:v>
      </x:c>
      <x:c r="D18" s="43" t="n">
        <x:v>9</x:v>
      </x:c>
      <x:c r="E18" s="43" t="str">
        <x:v>L05</x:v>
      </x:c>
      <x:c r="F18" s="43" t="str">
        <x:v>field_survey</x:v>
      </x:c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>
      <x:c r="A19" s="43" t="str">
        <x:v>OS_018</x:v>
      </x:c>
      <x:c r="B19" s="43" t="n">
        <x:v>5721741.9</x:v>
      </x:c>
      <x:c r="C19" s="43" t="n">
        <x:v>7184348</x:v>
      </x:c>
      <x:c r="D19" s="43" t="n">
        <x:v>5</x:v>
      </x:c>
      <x:c r="E19" s="43" t="str">
        <x:v>L02</x:v>
      </x:c>
      <x:c r="F19" s="43" t="str">
        <x:v>field_survey</x:v>
      </x:c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>
      <x:c r="A20" s="43" t="str">
        <x:v>OS_019</x:v>
      </x:c>
      <x:c r="B20" s="43" t="n">
        <x:v>5721955.2</x:v>
      </x:c>
      <x:c r="C20" s="43" t="n">
        <x:v>7184104.6</x:v>
      </x:c>
      <x:c r="D20" s="43" t="n">
        <x:v>6</x:v>
      </x:c>
      <x:c r="E20" s="43" t="str">
        <x:v>L03</x:v>
      </x:c>
      <x:c r="F20" s="43" t="str">
        <x:v>field_survey</x:v>
      </x:c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>
      <x:c r="A21" s="43" t="str">
        <x:v>OS_020</x:v>
      </x:c>
      <x:c r="B21" s="43" t="n">
        <x:v>5722137.4</x:v>
      </x:c>
      <x:c r="C21" s="43" t="n">
        <x:v>7183895.3</x:v>
      </x:c>
      <x:c r="D21" s="43" t="n">
        <x:v>8</x:v>
      </x:c>
      <x:c r="E21" s="43" t="str">
        <x:v>L06</x:v>
      </x:c>
      <x:c r="F21" s="43" t="str">
        <x:v>field_survey</x:v>
      </x:c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dataValidations count="1">
    <x:dataValidation type="list" sqref="E2:E21">
      <x:formula1>landscape_legend!$A$2:$A$7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1acd913d174549"/>
  </x:tableParts>
</x:worksheet>
</file>

<file path=xl/worksheets/sheet3.xml><?xml version="1.0" encoding="utf-8"?>
<x:worksheet xmlns:x="http://schemas.openxmlformats.org/spreadsheetml/2006/main">
  <x:sheetFormatPr defaultRowHeight="15"/>
  <x:cols>
    <x:col min="5" max="5" width="42" hidden="0" customWidth="1"/>
    <x:col min="1" max="1" width="16" hidden="0" customWidth="1"/>
    <x:col min="2" max="2" width="15" hidden="0" customWidth="1"/>
    <x:col min="3" max="3" width="12" hidden="0" customWidth="1"/>
    <x:col min="4" max="4" width="12" hidden="0" customWidth="1"/>
    <x:col min="6" max="6" width="16" hidden="0" customWidth="1"/>
    <x:col min="7" max="7" width="16" hidden="0" customWidth="1"/>
  </x:cols>
  <x:sheetData>
    <x:row r="1" ht="24" customHeight="1">
      <x:c r="A1" s="49" t="str">
        <x:v>observation_id</x:v>
      </x:c>
      <x:c r="B1" s="49" t="str">
        <x:v>individual_id</x:v>
      </x:c>
      <x:c r="C1" s="73" t="str">
        <x:v>obs_date</x:v>
      </x:c>
      <x:c r="D1" s="49" t="str">
        <x:v>count_seen</x:v>
      </x:c>
      <x:c r="E1" s="49" t="str">
        <x:v>place_description</x:v>
      </x:c>
      <x:c r="F1" s="49" t="str">
        <x:v>condition</x:v>
      </x:c>
      <x:c r="G1" s="49" t="str">
        <x:v>threat_factor</x:v>
      </x:c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32" customHeight="1">
      <x:c r="A2" s="43" t="str">
        <x:v>OBS_001</x:v>
      </x:c>
      <x:c r="B2" s="43" t="str">
        <x:v>OS_001</x:v>
      </x:c>
      <x:c r="C2" s="43" t="n">
        <x:v>46154</x:v>
      </x:c>
      <x:c r="D2" s="43" t="n">
        <x:v>1</x:v>
      </x:c>
      <x:c r="E2" s="62" t="str">
        <x:v>Опушка смешанного леса, рядом с лесной тропой</x:v>
      </x:c>
      <x:c r="F2" s="43" t="str">
        <x:v>stable</x:v>
      </x:c>
      <x:c r="G2" s="43" t="str">
        <x:v>none</x:v>
      </x:c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ht="32" customHeight="1">
      <x:c r="A3" s="43" t="str">
        <x:v>OBS_002</x:v>
      </x:c>
      <x:c r="B3" s="43" t="str">
        <x:v>OS_002</x:v>
      </x:c>
      <x:c r="C3" s="43" t="n">
        <x:v>46154</x:v>
      </x:c>
      <x:c r="D3" s="43" t="n">
        <x:v>1</x:v>
      </x:c>
      <x:c r="E3" s="62" t="str">
        <x:v>Склон у границы березово-соснового участка</x:v>
      </x:c>
      <x:c r="F3" s="43" t="str">
        <x:v>stable</x:v>
      </x:c>
      <x:c r="G3" s="43" t="str">
        <x:v>recreation</x:v>
      </x:c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 ht="32" customHeight="1">
      <x:c r="A4" s="43" t="str">
        <x:v>OBS_003</x:v>
      </x:c>
      <x:c r="B4" s="43" t="str">
        <x:v>OS_003</x:v>
      </x:c>
      <x:c r="C4" s="43" t="n">
        <x:v>46155</x:v>
      </x:c>
      <x:c r="D4" s="43" t="n">
        <x:v>2</x:v>
      </x:c>
      <x:c r="E4" s="62" t="str">
        <x:v>Небольшая поляна в зоне луговой растительности</x:v>
      </x:c>
      <x:c r="F4" s="43" t="str">
        <x:v>stable</x:v>
      </x:c>
      <x:c r="G4" s="43" t="str">
        <x:v>none</x:v>
      </x:c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 ht="32" customHeight="1">
      <x:c r="A5" s="43" t="str">
        <x:v>OBS_004</x:v>
      </x:c>
      <x:c r="B5" s="43" t="str">
        <x:v>OS_004</x:v>
      </x:c>
      <x:c r="C5" s="43" t="n">
        <x:v>46155</x:v>
      </x:c>
      <x:c r="D5" s="43" t="n">
        <x:v>1</x:v>
      </x:c>
      <x:c r="E5" s="62" t="str">
        <x:v>Участок у временной просеки</x:v>
      </x:c>
      <x:c r="F5" s="43" t="str">
        <x:v>weakened</x:v>
      </x:c>
      <x:c r="G5" s="43" t="str">
        <x:v>cutting</x:v>
      </x:c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 ht="32" customHeight="1">
      <x:c r="A6" s="43" t="str">
        <x:v>OBS_005</x:v>
      </x:c>
      <x:c r="B6" s="43" t="str">
        <x:v>OS_005</x:v>
      </x:c>
      <x:c r="C6" s="43" t="n">
        <x:v>46156</x:v>
      </x:c>
      <x:c r="D6" s="43" t="n">
        <x:v>1</x:v>
      </x:c>
      <x:c r="E6" s="62" t="str">
        <x:v>Лесной массив, затененная часть контура</x:v>
      </x:c>
      <x:c r="F6" s="43" t="str">
        <x:v>stable</x:v>
      </x:c>
      <x:c r="G6" s="43" t="str">
        <x:v>none</x:v>
      </x:c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 ht="32" customHeight="1">
      <x:c r="A7" s="43" t="str">
        <x:v>OBS_006</x:v>
      </x:c>
      <x:c r="B7" s="43" t="str">
        <x:v>OS_006</x:v>
      </x:c>
      <x:c r="C7" s="43" t="n">
        <x:v>46156</x:v>
      </x:c>
      <x:c r="D7" s="43" t="n">
        <x:v>1</x:v>
      </x:c>
      <x:c r="E7" s="62" t="str">
        <x:v>Переходная зона между лесом и открытым участком</x:v>
      </x:c>
      <x:c r="F7" s="43" t="str">
        <x:v>stable</x:v>
      </x:c>
      <x:c r="G7" s="43" t="str">
        <x:v>recreation</x:v>
      </x:c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32" customHeight="1">
      <x:c r="A8" s="43" t="str">
        <x:v>OBS_007</x:v>
      </x:c>
      <x:c r="B8" s="43" t="str">
        <x:v>OS_007</x:v>
      </x:c>
      <x:c r="C8" s="43" t="n">
        <x:v>46157</x:v>
      </x:c>
      <x:c r="D8" s="43" t="n">
        <x:v>3</x:v>
      </x:c>
      <x:c r="E8" s="62" t="str">
        <x:v>Открытый луговой участок около грунтовой дороги</x:v>
      </x:c>
      <x:c r="F8" s="43" t="str">
        <x:v>weakened</x:v>
      </x:c>
      <x:c r="G8" s="43" t="str">
        <x:v>road</x:v>
      </x:c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32" customHeight="1">
      <x:c r="A9" s="43" t="str">
        <x:v>OBS_008</x:v>
      </x:c>
      <x:c r="B9" s="43" t="str">
        <x:v>OS_008</x:v>
      </x:c>
      <x:c r="C9" s="43" t="n">
        <x:v>46157</x:v>
      </x:c>
      <x:c r="D9" s="43" t="n">
        <x:v>1</x:v>
      </x:c>
      <x:c r="E9" s="62" t="str">
        <x:v>Край поляны около линейного объекта</x:v>
      </x:c>
      <x:c r="F9" s="43" t="str">
        <x:v>stable</x:v>
      </x:c>
      <x:c r="G9" s="43" t="str">
        <x:v>infrastructure</x:v>
      </x:c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32" customHeight="1">
      <x:c r="A10" s="43" t="str">
        <x:v>OBS_009</x:v>
      </x:c>
      <x:c r="B10" s="43" t="str">
        <x:v>OS_009</x:v>
      </x:c>
      <x:c r="C10" s="43" t="n">
        <x:v>46158</x:v>
      </x:c>
      <x:c r="D10" s="43" t="n">
        <x:v>1</x:v>
      </x:c>
      <x:c r="E10" s="62" t="str">
        <x:v>Заболоченное понижение, влажная почва</x:v>
      </x:c>
      <x:c r="F10" s="43" t="str">
        <x:v>stable</x:v>
      </x:c>
      <x:c r="G10" s="43" t="str">
        <x:v>none</x:v>
      </x:c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32" customHeight="1">
      <x:c r="A11" s="43" t="str">
        <x:v>OBS_010</x:v>
      </x:c>
      <x:c r="B11" s="43" t="str">
        <x:v>OS_010</x:v>
      </x:c>
      <x:c r="C11" s="43" t="n">
        <x:v>46158</x:v>
      </x:c>
      <x:c r="D11" s="43" t="n">
        <x:v>1</x:v>
      </x:c>
      <x:c r="E11" s="62" t="str">
        <x:v>Луг с редким кустарником</x:v>
      </x:c>
      <x:c r="F11" s="43" t="str">
        <x:v>stable</x:v>
      </x:c>
      <x:c r="G11" s="43" t="str">
        <x:v>none</x:v>
      </x:c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32" customHeight="1">
      <x:c r="A12" s="43" t="str">
        <x:v>OBS_011</x:v>
      </x:c>
      <x:c r="B12" s="43" t="str">
        <x:v>OS_011</x:v>
      </x:c>
      <x:c r="C12" s="43" t="n">
        <x:v>46159</x:v>
      </x:c>
      <x:c r="D12" s="43" t="n">
        <x:v>2</x:v>
      </x:c>
      <x:c r="E12" s="62" t="str">
        <x:v>Влажная ложбина у границы лесного массива</x:v>
      </x:c>
      <x:c r="F12" s="43" t="str">
        <x:v>stable</x:v>
      </x:c>
      <x:c r="G12" s="43" t="str">
        <x:v>none</x:v>
      </x:c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32" customHeight="1">
      <x:c r="A13" s="43" t="str">
        <x:v>OBS_012</x:v>
      </x:c>
      <x:c r="B13" s="43" t="str">
        <x:v>OS_012</x:v>
      </x:c>
      <x:c r="C13" s="43" t="n">
        <x:v>46159</x:v>
      </x:c>
      <x:c r="D13" s="43" t="n">
        <x:v>1</x:v>
      </x:c>
      <x:c r="E13" s="62" t="str">
        <x:v>Опушка леса, рядом с старой дорогой</x:v>
      </x:c>
      <x:c r="F13" s="43" t="str">
        <x:v>weakened</x:v>
      </x:c>
      <x:c r="G13" s="43" t="str">
        <x:v>road</x:v>
      </x:c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32" customHeight="1">
      <x:c r="A14" s="43" t="str">
        <x:v>OBS_013</x:v>
      </x:c>
      <x:c r="B14" s="43" t="str">
        <x:v>OS_013</x:v>
      </x:c>
      <x:c r="C14" s="43" t="n">
        <x:v>46160</x:v>
      </x:c>
      <x:c r="D14" s="43" t="n">
        <x:v>1</x:v>
      </x:c>
      <x:c r="E14" s="62" t="str">
        <x:v>Затененный участок соснового леса</x:v>
      </x:c>
      <x:c r="F14" s="43" t="str">
        <x:v>stable</x:v>
      </x:c>
      <x:c r="G14" s="43" t="str">
        <x:v>none</x:v>
      </x:c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32" customHeight="1">
      <x:c r="A15" s="43" t="str">
        <x:v>OBS_014</x:v>
      </x:c>
      <x:c r="B15" s="43" t="str">
        <x:v>OS_014</x:v>
      </x:c>
      <x:c r="C15" s="43" t="n">
        <x:v>46160</x:v>
      </x:c>
      <x:c r="D15" s="43" t="n">
        <x:v>1</x:v>
      </x:c>
      <x:c r="E15" s="62" t="str">
        <x:v>Пойменная часть с высокой влажностью</x:v>
      </x:c>
      <x:c r="F15" s="43" t="str">
        <x:v>stable</x:v>
      </x:c>
      <x:c r="G15" s="43" t="str">
        <x:v>flooding</x:v>
      </x:c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32" customHeight="1">
      <x:c r="A16" s="43" t="str">
        <x:v>OBS_015</x:v>
      </x:c>
      <x:c r="B16" s="43" t="str">
        <x:v>OS_015</x:v>
      </x:c>
      <x:c r="C16" s="43" t="n">
        <x:v>46161</x:v>
      </x:c>
      <x:c r="D16" s="43" t="n">
        <x:v>2</x:v>
      </x:c>
      <x:c r="E16" s="62" t="str">
        <x:v>Граница пойменного участка и луговины</x:v>
      </x:c>
      <x:c r="F16" s="43" t="str">
        <x:v>stable</x:v>
      </x:c>
      <x:c r="G16" s="43" t="str">
        <x:v>none</x:v>
      </x:c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32" customHeight="1">
      <x:c r="A17" s="43" t="str">
        <x:v>OBS_016</x:v>
      </x:c>
      <x:c r="B17" s="43" t="str">
        <x:v>OS_016</x:v>
      </x:c>
      <x:c r="C17" s="43" t="n">
        <x:v>46161</x:v>
      </x:c>
      <x:c r="D17" s="43" t="n">
        <x:v>1</x:v>
      </x:c>
      <x:c r="E17" s="62" t="str">
        <x:v>Луговой фрагмент около просеки</x:v>
      </x:c>
      <x:c r="F17" s="43" t="str">
        <x:v>weakened</x:v>
      </x:c>
      <x:c r="G17" s="43" t="str">
        <x:v>cutting</x:v>
      </x:c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32" customHeight="1">
      <x:c r="A18" s="43" t="str">
        <x:v>OBS_017</x:v>
      </x:c>
      <x:c r="B18" s="43" t="str">
        <x:v>OS_017</x:v>
      </x:c>
      <x:c r="C18" s="43" t="n">
        <x:v>46162</x:v>
      </x:c>
      <x:c r="D18" s="43" t="n">
        <x:v>1</x:v>
      </x:c>
      <x:c r="E18" s="62" t="str">
        <x:v>Влажная низина рядом с ручьем</x:v>
      </x:c>
      <x:c r="F18" s="43" t="str">
        <x:v>stable</x:v>
      </x:c>
      <x:c r="G18" s="43" t="str">
        <x:v>none</x:v>
      </x:c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32" customHeight="1">
      <x:c r="A19" s="43" t="str">
        <x:v>OBS_018</x:v>
      </x:c>
      <x:c r="B19" s="43" t="str">
        <x:v>OS_018</x:v>
      </x:c>
      <x:c r="C19" s="43" t="n">
        <x:v>46162</x:v>
      </x:c>
      <x:c r="D19" s="43" t="n">
        <x:v>1</x:v>
      </x:c>
      <x:c r="E19" s="62" t="str">
        <x:v>Луговой склон, хорошо освещенный участок</x:v>
      </x:c>
      <x:c r="F19" s="43" t="str">
        <x:v>stable</x:v>
      </x:c>
      <x:c r="G19" s="43" t="str">
        <x:v>recreation</x:v>
      </x:c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32" customHeight="1">
      <x:c r="A20" s="43" t="str">
        <x:v>OBS_019</x:v>
      </x:c>
      <x:c r="B20" s="43" t="str">
        <x:v>OS_019</x:v>
      </x:c>
      <x:c r="C20" s="43" t="n">
        <x:v>46163</x:v>
      </x:c>
      <x:c r="D20" s="43" t="n">
        <x:v>1</x:v>
      </x:c>
      <x:c r="E20" s="62" t="str">
        <x:v>Сосновый лес, плотный травяной покров</x:v>
      </x:c>
      <x:c r="F20" s="43" t="str">
        <x:v>stable</x:v>
      </x:c>
      <x:c r="G20" s="43" t="str">
        <x:v>none</x:v>
      </x:c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32" customHeight="1">
      <x:c r="A21" s="43" t="str">
        <x:v>OBS_020</x:v>
      </x:c>
      <x:c r="B21" s="43" t="str">
        <x:v>OS_020</x:v>
      </x:c>
      <x:c r="C21" s="43" t="n">
        <x:v>46163</x:v>
      </x:c>
      <x:c r="D21" s="43" t="n">
        <x:v>2</x:v>
      </x:c>
      <x:c r="E21" s="62" t="str">
        <x:v>Пойменный участок у линейной инфраструктуры</x:v>
      </x:c>
      <x:c r="F21" s="43" t="str">
        <x:v>weakened</x:v>
      </x:c>
      <x:c r="G21" s="43" t="str">
        <x:v>infrastructure</x:v>
      </x:c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dataValidations count="2">
    <x:dataValidation type="list" sqref="F2:F21">
      <x:formula1>"stable,weakened"</x:formula1>
    </x:dataValidation>
    <x:dataValidation type="list" sqref="G2:G21">
      <x:formula1>"none,recreation,cutting,road,infrastructure,flooding"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5f577fea3e4085"/>
  </x:tableParts>
</x:worksheet>
</file>

<file path=xl/worksheets/sheet4.xml><?xml version="1.0" encoding="utf-8"?>
<x:worksheet xmlns:x="http://schemas.openxmlformats.org/spreadsheetml/2006/main">
  <x:sheetFormatPr defaultRowHeight="15"/>
  <x:cols>
    <x:col min="6" max="6" width="52" hidden="0" customWidth="1"/>
    <x:col min="1" max="1" width="15" hidden="0" customWidth="1"/>
    <x:col min="2" max="2" width="18" hidden="0" customWidth="1"/>
    <x:col min="3" max="3" width="22" hidden="0" customWidth="1"/>
    <x:col min="4" max="4" width="14" hidden="0" customWidth="1"/>
    <x:col min="5" max="5" width="14" hidden="0" customWidth="1"/>
  </x:cols>
  <x:sheetData>
    <x:row r="1" ht="24" customHeight="1">
      <x:c r="A1" s="49" t="str">
        <x:v>individual_id</x:v>
      </x:c>
      <x:c r="B1" s="49" t="str">
        <x:v>species_name</x:v>
      </x:c>
      <x:c r="C1" s="49" t="str">
        <x:v>protection_status</x:v>
      </x:c>
      <x:c r="D1" s="49" t="str">
        <x:v>age_stage</x:v>
      </x:c>
      <x:c r="E1" s="49" t="str">
        <x:v>vitality</x:v>
      </x:c>
      <x:c r="F1" s="49" t="str">
        <x:v>additional_note</x:v>
      </x:c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32" customHeight="1">
      <x:c r="A2" s="43" t="str">
        <x:v>OS_001</x:v>
      </x:c>
      <x:c r="B2" s="43" t="str">
        <x:v>Редкий вид A</x:v>
      </x:c>
      <x:c r="C2" s="43" t="str">
        <x:v>региональная охрана</x:v>
      </x:c>
      <x:c r="D2" s="43" t="str">
        <x:v>adult</x:v>
      </x:c>
      <x:c r="E2" s="43" t="str">
        <x:v>good</x:v>
      </x:c>
      <x:c r="F2" s="62" t="str">
        <x:v>Место рекомендуется включить в зону регулярного мониторинга.</x:v>
      </x:c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ht="32" customHeight="1">
      <x:c r="A3" s="43" t="str">
        <x:v>OS_002</x:v>
      </x:c>
      <x:c r="B3" s="43" t="str">
        <x:v>Редкий вид A</x:v>
      </x:c>
      <x:c r="C3" s="43" t="str">
        <x:v>региональная охрана</x:v>
      </x:c>
      <x:c r="D3" s="43" t="str">
        <x:v>adult</x:v>
      </x:c>
      <x:c r="E3" s="43" t="str">
        <x:v>good</x:v>
      </x:c>
      <x:c r="F3" s="62" t="str">
        <x:v>Рядом наблюдается рекреационная нагрузка.</x:v>
      </x:c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 ht="32" customHeight="1">
      <x:c r="A4" s="43" t="str">
        <x:v>OS_003</x:v>
      </x:c>
      <x:c r="B4" s="43" t="str">
        <x:v>Редкий вид A</x:v>
      </x:c>
      <x:c r="C4" s="43" t="str">
        <x:v>региональная охрана</x:v>
      </x:c>
      <x:c r="D4" s="43" t="str">
        <x:v>juvenile</x:v>
      </x:c>
      <x:c r="E4" s="43" t="str">
        <x:v>good</x:v>
      </x:c>
      <x:c r="F4" s="62" t="str">
        <x:v>Группа из двух экземпляров.</x:v>
      </x:c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 ht="32" customHeight="1">
      <x:c r="A5" s="43" t="str">
        <x:v>OS_004</x:v>
      </x:c>
      <x:c r="B5" s="43" t="str">
        <x:v>Редкий вид A</x:v>
      </x:c>
      <x:c r="C5" s="43" t="str">
        <x:v>региональная охрана</x:v>
      </x:c>
      <x:c r="D5" s="43" t="str">
        <x:v>adult</x:v>
      </x:c>
      <x:c r="E5" s="43" t="str">
        <x:v>medium</x:v>
      </x:c>
      <x:c r="F5" s="62" t="str">
        <x:v>Есть следы нарушения растительного покрова.</x:v>
      </x:c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 ht="32" customHeight="1">
      <x:c r="A6" s="43" t="str">
        <x:v>OS_005</x:v>
      </x:c>
      <x:c r="B6" s="43" t="str">
        <x:v>Редкий вид A</x:v>
      </x:c>
      <x:c r="C6" s="43" t="str">
        <x:v>региональная охрана</x:v>
      </x:c>
      <x:c r="D6" s="43" t="str">
        <x:v>adult</x:v>
      </x:c>
      <x:c r="E6" s="43" t="str">
        <x:v>good</x:v>
      </x:c>
      <x:c r="F6" s="62" t="str">
        <x:v>Участок стабильный, явных угроз не отмечено.</x:v>
      </x:c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 ht="32" customHeight="1">
      <x:c r="A7" s="43" t="str">
        <x:v>OS_006</x:v>
      </x:c>
      <x:c r="B7" s="43" t="str">
        <x:v>Редкий вид A</x:v>
      </x:c>
      <x:c r="C7" s="43" t="str">
        <x:v>региональная охрана</x:v>
      </x:c>
      <x:c r="D7" s="43" t="str">
        <x:v>adult</x:v>
      </x:c>
      <x:c r="E7" s="43" t="str">
        <x:v>good</x:v>
      </x:c>
      <x:c r="F7" s="62" t="str">
        <x:v>Рекомендуется повторное обследование в следующем сезоне.</x:v>
      </x:c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32" customHeight="1">
      <x:c r="A8" s="43" t="str">
        <x:v>OS_007</x:v>
      </x:c>
      <x:c r="B8" s="43" t="str">
        <x:v>Редкий вид A</x:v>
      </x:c>
      <x:c r="C8" s="43" t="str">
        <x:v>региональная охрана</x:v>
      </x:c>
      <x:c r="D8" s="43" t="str">
        <x:v>adult</x:v>
      </x:c>
      <x:c r="E8" s="43" t="str">
        <x:v>medium</x:v>
      </x:c>
      <x:c r="F8" s="62" t="str">
        <x:v>Наиболее плотная группа наблюдений.</x:v>
      </x:c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32" customHeight="1">
      <x:c r="A9" s="43" t="str">
        <x:v>OS_008</x:v>
      </x:c>
      <x:c r="B9" s="43" t="str">
        <x:v>Редкий вид A</x:v>
      </x:c>
      <x:c r="C9" s="43" t="str">
        <x:v>региональная охрана</x:v>
      </x:c>
      <x:c r="D9" s="43" t="str">
        <x:v>adult</x:v>
      </x:c>
      <x:c r="E9" s="43" t="str">
        <x:v>good</x:v>
      </x:c>
      <x:c r="F9" s="62" t="str">
        <x:v>Рядом расположен линейный объект инфраструктуры.</x:v>
      </x:c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32" customHeight="1">
      <x:c r="A10" s="43" t="str">
        <x:v>OS_009</x:v>
      </x:c>
      <x:c r="B10" s="43" t="str">
        <x:v>Редкий вид A</x:v>
      </x:c>
      <x:c r="C10" s="43" t="str">
        <x:v>региональная охрана</x:v>
      </x:c>
      <x:c r="D10" s="43" t="str">
        <x:v>adult</x:v>
      </x:c>
      <x:c r="E10" s="43" t="str">
        <x:v>good</x:v>
      </x:c>
      <x:c r="F10" s="62" t="str">
        <x:v>Участок с повышенной влажностью.</x:v>
      </x:c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32" customHeight="1">
      <x:c r="A11" s="43" t="str">
        <x:v>OS_010</x:v>
      </x:c>
      <x:c r="B11" s="43" t="str">
        <x:v>Редкий вид A</x:v>
      </x:c>
      <x:c r="C11" s="43" t="str">
        <x:v>региональная охрана</x:v>
      </x:c>
      <x:c r="D11" s="43" t="str">
        <x:v>adult</x:v>
      </x:c>
      <x:c r="E11" s="43" t="str">
        <x:v>good</x:v>
      </x:c>
      <x:c r="F11" s="62" t="str">
        <x:v>Подходит для отображения на тематической карте.</x:v>
      </x:c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32" customHeight="1">
      <x:c r="A12" s="43" t="str">
        <x:v>OS_011</x:v>
      </x:c>
      <x:c r="B12" s="43" t="str">
        <x:v>Редкий вид A</x:v>
      </x:c>
      <x:c r="C12" s="43" t="str">
        <x:v>региональная охрана</x:v>
      </x:c>
      <x:c r="D12" s="43" t="str">
        <x:v>juvenile</x:v>
      </x:c>
      <x:c r="E12" s="43" t="str">
        <x:v>good</x:v>
      </x:c>
      <x:c r="F12" s="62" t="str">
        <x:v>Группа из двух экземпляров.</x:v>
      </x:c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32" customHeight="1">
      <x:c r="A13" s="43" t="str">
        <x:v>OS_012</x:v>
      </x:c>
      <x:c r="B13" s="43" t="str">
        <x:v>Редкий вид A</x:v>
      </x:c>
      <x:c r="C13" s="43" t="str">
        <x:v>региональная охрана</x:v>
      </x:c>
      <x:c r="D13" s="43" t="str">
        <x:v>adult</x:v>
      </x:c>
      <x:c r="E13" s="43" t="str">
        <x:v>medium</x:v>
      </x:c>
      <x:c r="F13" s="62" t="str">
        <x:v>Требуется контроль воздействия дороги.</x:v>
      </x:c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32" customHeight="1">
      <x:c r="A14" s="43" t="str">
        <x:v>OS_013</x:v>
      </x:c>
      <x:c r="B14" s="43" t="str">
        <x:v>Редкий вид A</x:v>
      </x:c>
      <x:c r="C14" s="43" t="str">
        <x:v>региональная охрана</x:v>
      </x:c>
      <x:c r="D14" s="43" t="str">
        <x:v>adult</x:v>
      </x:c>
      <x:c r="E14" s="43" t="str">
        <x:v>good</x:v>
      </x:c>
      <x:c r="F14" s="62" t="str">
        <x:v>Точка расположена в лесном ландшафте.</x:v>
      </x:c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32" customHeight="1">
      <x:c r="A15" s="43" t="str">
        <x:v>OS_014</x:v>
      </x:c>
      <x:c r="B15" s="43" t="str">
        <x:v>Редкий вид A</x:v>
      </x:c>
      <x:c r="C15" s="43" t="str">
        <x:v>региональная охрана</x:v>
      </x:c>
      <x:c r="D15" s="43" t="str">
        <x:v>adult</x:v>
      </x:c>
      <x:c r="E15" s="43" t="str">
        <x:v>good</x:v>
      </x:c>
      <x:c r="F15" s="62" t="str">
        <x:v>Пойменная зона, возможны сезонные изменения влажности.</x:v>
      </x:c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32" customHeight="1">
      <x:c r="A16" s="43" t="str">
        <x:v>OS_015</x:v>
      </x:c>
      <x:c r="B16" s="43" t="str">
        <x:v>Редкий вид A</x:v>
      </x:c>
      <x:c r="C16" s="43" t="str">
        <x:v>региональная охрана</x:v>
      </x:c>
      <x:c r="D16" s="43" t="str">
        <x:v>juvenile</x:v>
      </x:c>
      <x:c r="E16" s="43" t="str">
        <x:v>good</x:v>
      </x:c>
      <x:c r="F16" s="62" t="str">
        <x:v>Встречено два экземпляра.</x:v>
      </x:c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32" customHeight="1">
      <x:c r="A17" s="43" t="str">
        <x:v>OS_016</x:v>
      </x:c>
      <x:c r="B17" s="43" t="str">
        <x:v>Редкий вид A</x:v>
      </x:c>
      <x:c r="C17" s="43" t="str">
        <x:v>региональная охрана</x:v>
      </x:c>
      <x:c r="D17" s="43" t="str">
        <x:v>adult</x:v>
      </x:c>
      <x:c r="E17" s="43" t="str">
        <x:v>medium</x:v>
      </x:c>
      <x:c r="F17" s="62" t="str">
        <x:v>Угроза связана с просекой.</x:v>
      </x:c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32" customHeight="1">
      <x:c r="A18" s="43" t="str">
        <x:v>OS_017</x:v>
      </x:c>
      <x:c r="B18" s="43" t="str">
        <x:v>Редкий вид A</x:v>
      </x:c>
      <x:c r="C18" s="43" t="str">
        <x:v>региональная охрана</x:v>
      </x:c>
      <x:c r="D18" s="43" t="str">
        <x:v>adult</x:v>
      </x:c>
      <x:c r="E18" s="43" t="str">
        <x:v>good</x:v>
      </x:c>
      <x:c r="F18" s="62" t="str">
        <x:v>Влажная зона рядом с гидрологическим элементом.</x:v>
      </x:c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32" customHeight="1">
      <x:c r="A19" s="43" t="str">
        <x:v>OS_018</x:v>
      </x:c>
      <x:c r="B19" s="43" t="str">
        <x:v>Редкий вид A</x:v>
      </x:c>
      <x:c r="C19" s="43" t="str">
        <x:v>региональная охрана</x:v>
      </x:c>
      <x:c r="D19" s="43" t="str">
        <x:v>adult</x:v>
      </x:c>
      <x:c r="E19" s="43" t="str">
        <x:v>good</x:v>
      </x:c>
      <x:c r="F19" s="62" t="str">
        <x:v>Открытый освещенный участок.</x:v>
      </x:c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32" customHeight="1">
      <x:c r="A20" s="43" t="str">
        <x:v>OS_019</x:v>
      </x:c>
      <x:c r="B20" s="43" t="str">
        <x:v>Редкий вид A</x:v>
      </x:c>
      <x:c r="C20" s="43" t="str">
        <x:v>региональная охрана</x:v>
      </x:c>
      <x:c r="D20" s="43" t="str">
        <x:v>adult</x:v>
      </x:c>
      <x:c r="E20" s="43" t="str">
        <x:v>good</x:v>
      </x:c>
      <x:c r="F20" s="62" t="str">
        <x:v>Лесной участок без видимых нарушений.</x:v>
      </x:c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32" customHeight="1">
      <x:c r="A21" s="43" t="str">
        <x:v>OS_020</x:v>
      </x:c>
      <x:c r="B21" s="43" t="str">
        <x:v>Редкий вид A</x:v>
      </x:c>
      <x:c r="C21" s="43" t="str">
        <x:v>региональная охрана</x:v>
      </x:c>
      <x:c r="D21" s="43" t="str">
        <x:v>adult</x:v>
      </x:c>
      <x:c r="E21" s="43" t="str">
        <x:v>medium</x:v>
      </x:c>
      <x:c r="F21" s="62" t="str">
        <x:v>Нужно учитывать близость инфраструктуры.</x:v>
      </x:c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dataValidations count="1">
    <x:dataValidation type="list" sqref="E2:E21">
      <x:formula1>"good,medium,low"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ae81ea10704e62"/>
  </x:tableParts>
</x:worksheet>
</file>

<file path=xl/worksheets/sheet5.xml><?xml version="1.0" encoding="utf-8"?>
<x:worksheet xmlns:x="http://schemas.openxmlformats.org/spreadsheetml/2006/main">
  <x:sheetFormatPr defaultRowHeight="15"/>
  <x:cols>
    <x:col min="4" max="4" width="52" hidden="0" customWidth="1"/>
    <x:col min="1" max="1" width="15" hidden="0" customWidth="1"/>
    <x:col min="2" max="2" width="24" hidden="0" customWidth="1"/>
    <x:col min="3" max="3" width="24" hidden="0" customWidth="1"/>
  </x:cols>
  <x:sheetData>
    <x:row r="1" ht="24" customHeight="1">
      <x:c r="A1" s="49" t="str">
        <x:v>landscape_code</x:v>
      </x:c>
      <x:c r="B1" s="49" t="str">
        <x:v>landscape_type</x:v>
      </x:c>
      <x:c r="C1" s="49" t="str">
        <x:v>map_style_hint</x:v>
      </x:c>
      <x:c r="D1" s="49" t="str">
        <x:v>description</x:v>
      </x:c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34" customHeight="1">
      <x:c r="A2" s="43" t="str">
        <x:v>L01</x:v>
      </x:c>
      <x:c r="B2" s="43" t="str">
        <x:v>Смешанный лес</x:v>
      </x:c>
      <x:c r="C2" s="43" t="str">
        <x:v>зеленая заливка</x:v>
      </x:c>
      <x:c r="D2" s="62" t="str">
        <x:v>Лесные участки смешанного состава, пригодные для обитания вида.</x:v>
      </x:c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ht="34" customHeight="1">
      <x:c r="A3" s="43" t="str">
        <x:v>L02</x:v>
      </x:c>
      <x:c r="B3" s="43" t="str">
        <x:v>Луговая растительность</x:v>
      </x:c>
      <x:c r="C3" s="43" t="str">
        <x:v>светло-зеленая заливка</x:v>
      </x:c>
      <x:c r="D3" s="62" t="str">
        <x:v>Открытые травянистые участки и поляны.</x:v>
      </x:c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 ht="34" customHeight="1">
      <x:c r="A4" s="43" t="str">
        <x:v>L03</x:v>
      </x:c>
      <x:c r="B4" s="43" t="str">
        <x:v>Сосновый лес</x:v>
      </x:c>
      <x:c r="C4" s="43" t="str">
        <x:v>темно-зеленая заливка</x:v>
      </x:c>
      <x:c r="D4" s="62" t="str">
        <x:v>Сухие и умеренно влажные сосновые участки.</x:v>
      </x:c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 ht="34" customHeight="1">
      <x:c r="A5" s="43" t="str">
        <x:v>L04</x:v>
      </x:c>
      <x:c r="B5" s="43" t="str">
        <x:v>Просека / нарушенный участок</x:v>
      </x:c>
      <x:c r="C5" s="43" t="str">
        <x:v>желтая заливка</x:v>
      </x:c>
      <x:c r="D5" s="62" t="str">
        <x:v>Территории с признаками антропогенного воздействия.</x:v>
      </x:c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 ht="34" customHeight="1">
      <x:c r="A6" s="43" t="str">
        <x:v>L05</x:v>
      </x:c>
      <x:c r="B6" s="43" t="str">
        <x:v>Влажная низина</x:v>
      </x:c>
      <x:c r="C6" s="43" t="str">
        <x:v>голубая заливка</x:v>
      </x:c>
      <x:c r="D6" s="62" t="str">
        <x:v>Пониженные влажные участки, пойменные фрагменты и ложбины.</x:v>
      </x:c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 ht="34" customHeight="1">
      <x:c r="A7" s="43" t="str">
        <x:v>L06</x:v>
      </x:c>
      <x:c r="B7" s="43" t="str">
        <x:v>Пойменный ландшафт</x:v>
      </x:c>
      <x:c r="C7" s="43" t="str">
        <x:v>сине-зеленая заливка</x:v>
      </x:c>
      <x:c r="D7" s="62" t="str">
        <x:v>Участки, связанные с поймой и временным переувлажнением.</x:v>
      </x:c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pageMargins left="0.7" right="0.7" top="0.75" bottom="0.75" header="0.3" footer="0.3"/>
  <x:tableParts count="1">
    <x:tablePart xmlns:r="http://schemas.openxmlformats.org/officeDocument/2006/relationships" r:id="R3c89afb964324e6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8" hidden="0" customWidth="1"/>
    <x:col min="3" max="3" width="15" hidden="0" customWidth="1"/>
  </x:cols>
  <x:sheetData>
    <x:row r="1" ht="24" customHeight="1">
      <x:c r="A1" s="49" t="str">
        <x:v>Сводка данных для практической работы №8</x:v>
      </x:c>
      <x:c r="B1" s="49"/>
      <x:c r="C1" s="49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43" t="str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>
      <x:c r="A3" s="58" t="str">
        <x:v>Показатель</x:v>
      </x:c>
      <x:c r="B3" s="58" t="str">
        <x:v>Значение</x:v>
      </x:c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>
      <x:c r="A4" s="43" t="str">
        <x:v>Количество точек встречаемости</x:v>
      </x:c>
      <x:c r="B4" s="43" t="n">
        <x:f>COUNTA(places!A2:A21)</x:f>
        <x:v>20</x:v>
      </x:c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>
      <x:c r="A5" s="43" t="str">
        <x:v>Количество записей наблюдений</x:v>
      </x:c>
      <x:c r="B5" s="43" t="n">
        <x:f>COUNTA(observations!A2:A21)</x:f>
        <x:v>20</x:v>
      </x:c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>
      <x:c r="A6" s="43" t="str">
        <x:v>Суммарное количество зафиксированных особей</x:v>
      </x:c>
      <x:c r="B6" s="43" t="n">
        <x:f>SUM(observations!D2:D21)</x:f>
        <x:v>26</x:v>
      </x:c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>
      <x:c r="A7" s="43" t="str">
        <x:v>Количество ослабленных/уязвимых наблюдений</x:v>
      </x:c>
      <x:c r="B7" s="43" t="n">
        <x:f>COUNTIF(observations!F2:F21,"weakened")</x:f>
        <x:v>5</x:v>
      </x:c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>
      <x:c r="A8" s="43" t="str"/>
      <x:c r="B8" s="43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>
      <x:c r="A9" s="58" t="str">
        <x:v>Распределение по типам ландшафтов</x:v>
      </x:c>
      <x:c r="B9" s="58"/>
      <x:c r="C9" s="58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>
      <x:c r="A10" s="58" t="str">
        <x:v>landscape_code</x:v>
      </x:c>
      <x:c r="B10" s="58" t="str">
        <x:v>landscape_type</x:v>
      </x:c>
      <x:c r="C10" s="58" t="str">
        <x:v>count_points</x:v>
      </x:c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>
      <x:c r="A11" s="43" t="str">
        <x:v>L01</x:v>
      </x:c>
      <x:c r="B11" s="43" t="str">
        <x:v>Смешанный лес</x:v>
      </x:c>
      <x:c r="C11" s="43" t="n">
        <x:f>COUNTIF(places!E:E,A11)</x:f>
        <x:v>3</x:v>
      </x:c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>
      <x:c r="A12" s="43" t="str">
        <x:v>L02</x:v>
      </x:c>
      <x:c r="B12" s="43" t="str">
        <x:v>Луговая растительность</x:v>
      </x:c>
      <x:c r="C12" s="43" t="n">
        <x:f>COUNTIF(places!E:E,A12)</x:f>
        <x:v>4</x:v>
      </x:c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>
      <x:c r="A13" s="43" t="str">
        <x:v>L03</x:v>
      </x:c>
      <x:c r="B13" s="43" t="str">
        <x:v>Сосновый лес</x:v>
      </x:c>
      <x:c r="C13" s="43" t="n">
        <x:f>COUNTIF(places!E:E,A13)</x:f>
        <x:v>4</x:v>
      </x:c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>
      <x:c r="A14" s="43" t="str">
        <x:v>L04</x:v>
      </x:c>
      <x:c r="B14" s="43" t="str">
        <x:v>Просека / нарушенный участок</x:v>
      </x:c>
      <x:c r="C14" s="43" t="n">
        <x:f>COUNTIF(places!E:E,A14)</x:f>
        <x:v>3</x:v>
      </x:c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>
      <x:c r="A15" s="43" t="str">
        <x:v>L05</x:v>
      </x:c>
      <x:c r="B15" s="43" t="str">
        <x:v>Влажная низина</x:v>
      </x:c>
      <x:c r="C15" s="43" t="n">
        <x:f>COUNTIF(places!E:E,A15)</x:f>
        <x:v>3</x:v>
      </x:c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>
      <x:c r="A16" s="43" t="str">
        <x:v>L06</x:v>
      </x:c>
      <x:c r="B16" s="43" t="str">
        <x:v>Пойменный ландшафт</x:v>
      </x:c>
      <x:c r="C16" s="43" t="n">
        <x:f>COUNTIF(places!E:E,A16)</x:f>
        <x:v>3</x:v>
      </x:c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mergeCells>
    <x:mergeCell ref="A1:C1"/>
  </x:mergeCells>
  <x:pageMargins left="0.7" right="0.7" top="0.75" bottom="0.75" header="0.3" footer="0.3"/>
</x:worksheet>
</file>